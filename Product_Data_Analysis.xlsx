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immi\Documents\Entri\"/>
    </mc:Choice>
  </mc:AlternateContent>
  <xr:revisionPtr revIDLastSave="0" documentId="13_ncr:1_{1B0A53B8-4A64-4FC0-8F80-5280853E94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41" i="2" l="1"/>
  <c r="J2" i="2" a="1"/>
  <c r="J2" i="2" s="1"/>
  <c r="I2" i="2" a="1"/>
  <c r="I2" i="2" s="1"/>
  <c r="H2" i="2" a="1"/>
  <c r="H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50" i="2"/>
  <c r="C49" i="2"/>
  <c r="C46" i="2"/>
  <c r="C45" i="2"/>
  <c r="C42" i="2"/>
  <c r="C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<sst xmlns="http://schemas.openxmlformats.org/spreadsheetml/2006/main" count="170" uniqueCount="121">
  <si>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</si>
  <si>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</si>
  <si>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</si>
  <si>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</si>
  <si>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</si>
  <si>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</si>
  <si>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</si>
  <si>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</si>
  <si>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</si>
  <si>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</si>
  <si>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</si>
  <si>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</si>
  <si>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</si>
  <si>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</si>
  <si>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</si>
  <si>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</si>
  <si>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</si>
  <si>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</si>
  <si>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</si>
  <si>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</si>
  <si>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</si>
  <si>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</si>
  <si>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</si>
  <si>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</si>
  <si>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</si>
  <si>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</si>
  <si>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</si>
  <si>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</si>
  <si>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</si>
  <si>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</si>
  <si>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</si>
  <si>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</si>
  <si>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</si>
  <si>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</si>
  <si>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</si>
  <si>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</si>
  <si>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</si>
  <si>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</si>
  <si>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</si>
  <si>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</si>
  <si>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</si>
  <si>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</si>
  <si>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</si>
  <si>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</si>
  <si>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</si>
  <si>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</si>
  <si>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</si>
  <si>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</si>
  <si>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</si>
  <si>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</si>
  <si>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</si>
  <si>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</si>
  <si>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</si>
  <si>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</si>
  <si>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</si>
  <si>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</si>
  <si>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</si>
  <si>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</si>
  <si>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</si>
  <si>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</si>
  <si>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</si>
  <si>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</si>
  <si>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</si>
  <si>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</si>
  <si>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</si>
  <si>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</si>
  <si>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</si>
  <si>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</si>
  <si>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</si>
  <si>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</si>
  <si>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</si>
  <si>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</si>
  <si>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</si>
  <si>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</si>
  <si>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</si>
  <si>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</si>
  <si>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</si>
  <si>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</si>
  <si>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</si>
  <si>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</si>
  <si>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</si>
  <si>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</si>
  <si>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</si>
  <si>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</si>
  <si>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</si>
  <si>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</si>
  <si>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</si>
  <si>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</si>
  <si>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</si>
  <si>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</si>
  <si>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</si>
  <si>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</si>
  <si>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</si>
  <si>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</si>
  <si>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</si>
  <si>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</si>
  <si>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</si>
  <si>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</si>
  <si>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</si>
  <si>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</si>
  <si>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</si>
  <si>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</si>
  <si>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</si>
  <si>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</si>
  <si>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</si>
  <si>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</si>
  <si>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</si>
  <si>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</si>
  <si>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</si>
  <si>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</si>
  <si>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</si>
  <si>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Average Price of Products</t>
  </si>
  <si>
    <t>Minimum Price among all Products</t>
  </si>
  <si>
    <t>Number of Products in Dataset</t>
  </si>
  <si>
    <t>Maximum Price among all Products</t>
  </si>
  <si>
    <t>Total Price of Products in Electronics Category</t>
  </si>
  <si>
    <t>Number of Products with less than $100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</si>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</sst>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rgb="FF4DD0E1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E0F7FA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29" workbookViewId="0">
      <selection activeCell="C41" sqref="C41"/>
    </sheetView>
  </sheetViews>
  <sheetFormatPr defaultColWidth="12.6640625" defaultRowHeight="15" customHeight="1" x14ac:dyDescent="0.25"/>
  <cols>
    <col min="1" max="1" width="17.44140625" customWidth="1"/>
    <col min="2" max="2" width="21.6640625" customWidth="1"/>
    <col min="3" max="3" width="13.6640625" customWidth="1"/>
    <col min="4" max="5" width="14" customWidth="1"/>
    <col min="6" max="7" width="15" customWidth="1"/>
    <col min="9" max="9" width="15.109375" customWidth="1"/>
  </cols>
  <sheetData>
    <row r="1" spans="1:10" ht="15.75" customHeight="1" x14ac:dyDescent="0.25">
      <c r="A1" s="5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117</v>
      </c>
      <c r="H1" s="6" t="s">
        <v>118</v>
      </c>
      <c r="I1" s="6" t="s">
        <v>119</v>
      </c>
      <c r="J1" s="7" t="s">
        <v>120</v>
      </c>
    </row>
    <row r="2" spans="1:10" ht="15.75" customHeight="1" x14ac:dyDescent="0.25">
      <c r="A2" s="8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10" t="str">
        <f>IF(D2&gt;=500,"High Price","Standard Price")</f>
        <v>High Price</v>
      </c>
      <c r="H2" s="10" t="str" cm="1">
        <f t="array" ref="H2:H35">LEFT(A2:A35,2)</f>
        <v>28</v>
      </c>
      <c r="I2" s="10" t="str" cm="1">
        <f t="array" ref="I2:I35">RIGHT(A2:A35,2)</f>
        <v>US</v>
      </c>
      <c r="J2" s="11" t="str" cm="1">
        <f t="array" ref="J2:J35">MID(A2:A35,4,3)</f>
        <v>JAN</v>
      </c>
    </row>
    <row r="3" spans="1:10" ht="15.75" customHeight="1" x14ac:dyDescent="0.25">
      <c r="A3" s="12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10" t="str">
        <f t="shared" ref="G3:G35" si="0">IF(D3&gt;=500,"High Price","Standard Price")</f>
        <v>Standard Price</v>
      </c>
      <c r="H3" s="10" t="str">
        <v>15</v>
      </c>
      <c r="I3" s="10" t="str">
        <v>US</v>
      </c>
      <c r="J3" s="11" t="str">
        <v>FEB</v>
      </c>
    </row>
    <row r="4" spans="1:10" ht="15.75" customHeight="1" x14ac:dyDescent="0.25">
      <c r="A4" s="8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10" t="str">
        <f t="shared" si="0"/>
        <v>Standard Price</v>
      </c>
      <c r="H4" s="10" t="str">
        <v>03</v>
      </c>
      <c r="I4" s="10" t="str">
        <v>US</v>
      </c>
      <c r="J4" s="11" t="str">
        <v>MAR</v>
      </c>
    </row>
    <row r="5" spans="1:10" ht="15.75" customHeight="1" x14ac:dyDescent="0.25">
      <c r="A5" s="12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10" t="str">
        <f t="shared" si="0"/>
        <v>High Price</v>
      </c>
      <c r="H5" s="10" t="str">
        <v>11</v>
      </c>
      <c r="I5" s="10" t="str">
        <v>US</v>
      </c>
      <c r="J5" s="11" t="str">
        <v>APR</v>
      </c>
    </row>
    <row r="6" spans="1:10" ht="15.75" customHeight="1" x14ac:dyDescent="0.25">
      <c r="A6" s="8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10" t="str">
        <f t="shared" si="0"/>
        <v>Standard Price</v>
      </c>
      <c r="H6" s="10" t="str">
        <v>22</v>
      </c>
      <c r="I6" s="10" t="str">
        <v>US</v>
      </c>
      <c r="J6" s="11" t="str">
        <v>MAY</v>
      </c>
    </row>
    <row r="7" spans="1:10" ht="15.75" customHeight="1" x14ac:dyDescent="0.25">
      <c r="A7" s="12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10" t="str">
        <f t="shared" si="0"/>
        <v>Standard Price</v>
      </c>
      <c r="H7" s="10" t="str">
        <v>07</v>
      </c>
      <c r="I7" s="10" t="str">
        <v>UK</v>
      </c>
      <c r="J7" s="11" t="str">
        <v>JUN</v>
      </c>
    </row>
    <row r="8" spans="1:10" ht="15.75" customHeight="1" x14ac:dyDescent="0.25">
      <c r="A8" s="8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10" t="str">
        <f t="shared" si="0"/>
        <v>Standard Price</v>
      </c>
      <c r="H8" s="10" t="str">
        <v>19</v>
      </c>
      <c r="I8" s="10" t="str">
        <v>UK</v>
      </c>
      <c r="J8" s="11" t="str">
        <v>JUL</v>
      </c>
    </row>
    <row r="9" spans="1:10" ht="15.75" customHeight="1" x14ac:dyDescent="0.25">
      <c r="A9" s="12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10" t="str">
        <f t="shared" si="0"/>
        <v>Standard Price</v>
      </c>
      <c r="H9" s="10" t="str">
        <v>23</v>
      </c>
      <c r="I9" s="10" t="str">
        <v>UK</v>
      </c>
      <c r="J9" s="11" t="str">
        <v>AUG</v>
      </c>
    </row>
    <row r="10" spans="1:10" ht="15.75" customHeight="1" x14ac:dyDescent="0.25">
      <c r="A10" s="8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10" t="str">
        <f t="shared" si="0"/>
        <v>High Price</v>
      </c>
      <c r="H10" s="10" t="str">
        <v>05</v>
      </c>
      <c r="I10" s="10" t="str">
        <v>UK</v>
      </c>
      <c r="J10" s="11" t="str">
        <v>SEP</v>
      </c>
    </row>
    <row r="11" spans="1:10" ht="15.75" customHeight="1" x14ac:dyDescent="0.25">
      <c r="A11" s="12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10" t="str">
        <f t="shared" si="0"/>
        <v>Standard Price</v>
      </c>
      <c r="H11" s="10" t="str">
        <v>14</v>
      </c>
      <c r="I11" s="10" t="str">
        <v>UK</v>
      </c>
      <c r="J11" s="11" t="str">
        <v>OCT</v>
      </c>
    </row>
    <row r="12" spans="1:10" ht="15.75" customHeight="1" x14ac:dyDescent="0.25">
      <c r="A12" s="8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10" t="str">
        <f t="shared" si="0"/>
        <v>High Price</v>
      </c>
      <c r="H12" s="10" t="str">
        <v>17</v>
      </c>
      <c r="I12" s="10" t="str">
        <v>IN</v>
      </c>
      <c r="J12" s="11" t="str">
        <v>JUN</v>
      </c>
    </row>
    <row r="13" spans="1:10" ht="15.75" customHeight="1" x14ac:dyDescent="0.25">
      <c r="A13" s="12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10" t="str">
        <f t="shared" si="0"/>
        <v>Standard Price</v>
      </c>
      <c r="H13" s="10" t="str">
        <v>25</v>
      </c>
      <c r="I13" s="10" t="str">
        <v>AU</v>
      </c>
      <c r="J13" s="11" t="str">
        <v>NOV</v>
      </c>
    </row>
    <row r="14" spans="1:10" ht="15.75" customHeight="1" x14ac:dyDescent="0.25">
      <c r="A14" s="8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10" t="str">
        <f t="shared" si="0"/>
        <v>Standard Price</v>
      </c>
      <c r="H14" s="10" t="str">
        <v>08</v>
      </c>
      <c r="I14" s="10" t="str">
        <v>DE</v>
      </c>
      <c r="J14" s="11" t="str">
        <v>DEC</v>
      </c>
    </row>
    <row r="15" spans="1:10" ht="15.75" customHeight="1" x14ac:dyDescent="0.25">
      <c r="A15" s="12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10" t="str">
        <f t="shared" si="0"/>
        <v>Standard Price</v>
      </c>
      <c r="H15" s="10" t="str">
        <v>18</v>
      </c>
      <c r="I15" s="10" t="str">
        <v>CA</v>
      </c>
      <c r="J15" s="11" t="str">
        <v>FEB</v>
      </c>
    </row>
    <row r="16" spans="1:10" ht="15.75" customHeight="1" x14ac:dyDescent="0.25">
      <c r="A16" s="8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10" t="str">
        <f t="shared" si="0"/>
        <v>Standard Price</v>
      </c>
      <c r="H16" s="10" t="str">
        <v>16</v>
      </c>
      <c r="I16" s="10" t="str">
        <v>ES</v>
      </c>
      <c r="J16" s="11" t="str">
        <v>APR</v>
      </c>
    </row>
    <row r="17" spans="1:10" ht="15.75" customHeight="1" x14ac:dyDescent="0.25">
      <c r="A17" s="12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10" t="str">
        <f t="shared" si="0"/>
        <v>Standard Price</v>
      </c>
      <c r="H17" s="10" t="str">
        <v>21</v>
      </c>
      <c r="I17" s="10" t="str">
        <v>CA</v>
      </c>
      <c r="J17" s="11" t="str">
        <v>AUG</v>
      </c>
    </row>
    <row r="18" spans="1:10" ht="15.75" customHeight="1" x14ac:dyDescent="0.25">
      <c r="A18" s="8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10" t="str">
        <f t="shared" si="0"/>
        <v>Standard Price</v>
      </c>
      <c r="H18" s="10" t="str">
        <v>20</v>
      </c>
      <c r="I18" s="10" t="str">
        <v>CN</v>
      </c>
      <c r="J18" s="11" t="str">
        <v>AUG</v>
      </c>
    </row>
    <row r="19" spans="1:10" ht="15.75" customHeight="1" x14ac:dyDescent="0.25">
      <c r="A19" s="12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10" t="str">
        <f t="shared" si="0"/>
        <v>High Price</v>
      </c>
      <c r="H19" s="10" t="str">
        <v>27</v>
      </c>
      <c r="I19" s="10" t="str">
        <v>IT</v>
      </c>
      <c r="J19" s="11" t="str">
        <v>JAN</v>
      </c>
    </row>
    <row r="20" spans="1:10" ht="15.75" customHeight="1" x14ac:dyDescent="0.25">
      <c r="A20" s="8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10" t="str">
        <f t="shared" si="0"/>
        <v>Standard Price</v>
      </c>
      <c r="H20" s="10" t="str">
        <v>01</v>
      </c>
      <c r="I20" s="10" t="str">
        <v>UK</v>
      </c>
      <c r="J20" s="11" t="str">
        <v>MAR</v>
      </c>
    </row>
    <row r="21" spans="1:10" ht="15.75" customHeight="1" x14ac:dyDescent="0.25">
      <c r="A21" s="12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10" t="str">
        <f t="shared" si="0"/>
        <v>Standard Price</v>
      </c>
      <c r="H21" s="10" t="str">
        <v>14</v>
      </c>
      <c r="I21" s="10" t="str">
        <v>US</v>
      </c>
      <c r="J21" s="11" t="str">
        <v>AUG</v>
      </c>
    </row>
    <row r="22" spans="1:10" ht="15.75" customHeight="1" x14ac:dyDescent="0.25">
      <c r="A22" s="8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10" t="str">
        <f t="shared" si="0"/>
        <v>High Price</v>
      </c>
      <c r="H22" s="10" t="str">
        <v>14</v>
      </c>
      <c r="I22" s="10" t="str">
        <v>RU</v>
      </c>
      <c r="J22" s="11" t="str">
        <v>MAY</v>
      </c>
    </row>
    <row r="23" spans="1:10" ht="15.75" customHeight="1" x14ac:dyDescent="0.25">
      <c r="A23" s="12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10" t="str">
        <f t="shared" si="0"/>
        <v>Standard Price</v>
      </c>
      <c r="H23" s="10" t="str">
        <v>09</v>
      </c>
      <c r="I23" s="10" t="str">
        <v>CA</v>
      </c>
      <c r="J23" s="11" t="str">
        <v>JAN</v>
      </c>
    </row>
    <row r="24" spans="1:10" ht="15.75" customHeight="1" x14ac:dyDescent="0.25">
      <c r="A24" s="8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10" t="str">
        <f t="shared" si="0"/>
        <v>Standard Price</v>
      </c>
      <c r="H24" s="10" t="str">
        <v>19</v>
      </c>
      <c r="I24" s="10" t="str">
        <v>BR</v>
      </c>
      <c r="J24" s="11" t="str">
        <v>JUL</v>
      </c>
    </row>
    <row r="25" spans="1:10" ht="15.75" customHeight="1" x14ac:dyDescent="0.25">
      <c r="A25" s="12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10" t="str">
        <f t="shared" si="0"/>
        <v>Standard Price</v>
      </c>
      <c r="H25" s="10" t="str">
        <v>21</v>
      </c>
      <c r="I25" s="10" t="str">
        <v>CA</v>
      </c>
      <c r="J25" s="11" t="str">
        <v>AUG</v>
      </c>
    </row>
    <row r="26" spans="1:10" ht="15.75" customHeight="1" x14ac:dyDescent="0.25">
      <c r="A26" s="8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10" t="str">
        <f t="shared" si="0"/>
        <v>High Price</v>
      </c>
      <c r="H26" s="10" t="str">
        <v>29</v>
      </c>
      <c r="I26" s="10" t="str">
        <v>CA</v>
      </c>
      <c r="J26" s="11" t="str">
        <v>SEP</v>
      </c>
    </row>
    <row r="27" spans="1:10" ht="15.75" customHeight="1" x14ac:dyDescent="0.25">
      <c r="A27" s="12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10" t="str">
        <f t="shared" si="0"/>
        <v>Standard Price</v>
      </c>
      <c r="H27" s="10" t="str">
        <v>03</v>
      </c>
      <c r="I27" s="10" t="str">
        <v>CA</v>
      </c>
      <c r="J27" s="11" t="str">
        <v>JUN</v>
      </c>
    </row>
    <row r="28" spans="1:10" ht="15.75" customHeight="1" x14ac:dyDescent="0.25">
      <c r="A28" s="8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10" t="str">
        <f t="shared" si="0"/>
        <v>Standard Price</v>
      </c>
      <c r="H28" s="10" t="str">
        <v>11</v>
      </c>
      <c r="I28" s="10" t="str">
        <v>CA</v>
      </c>
      <c r="J28" s="11" t="str">
        <v>JUL</v>
      </c>
    </row>
    <row r="29" spans="1:10" ht="15.75" customHeight="1" x14ac:dyDescent="0.25">
      <c r="A29" s="12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10" t="str">
        <f t="shared" si="0"/>
        <v>Standard Price</v>
      </c>
      <c r="H29" s="10" t="str">
        <v>16</v>
      </c>
      <c r="I29" s="10" t="str">
        <v>ES</v>
      </c>
      <c r="J29" s="11" t="str">
        <v>APR</v>
      </c>
    </row>
    <row r="30" spans="1:10" ht="15.75" customHeight="1" x14ac:dyDescent="0.25">
      <c r="A30" s="8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10" t="str">
        <f t="shared" si="0"/>
        <v>Standard Price</v>
      </c>
      <c r="H30" s="10" t="str">
        <v>07</v>
      </c>
      <c r="I30" s="10" t="str">
        <v>CA</v>
      </c>
      <c r="J30" s="11" t="str">
        <v>MAR</v>
      </c>
    </row>
    <row r="31" spans="1:10" ht="15.75" customHeight="1" x14ac:dyDescent="0.25">
      <c r="A31" s="12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10" t="str">
        <f t="shared" si="0"/>
        <v>Standard Price</v>
      </c>
      <c r="H31" s="10" t="str">
        <v>13</v>
      </c>
      <c r="I31" s="10" t="str">
        <v>CA</v>
      </c>
      <c r="J31" s="11" t="str">
        <v>APR</v>
      </c>
    </row>
    <row r="32" spans="1:10" ht="15.75" customHeight="1" x14ac:dyDescent="0.25">
      <c r="A32" s="8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10" t="str">
        <f t="shared" si="0"/>
        <v>Standard Price</v>
      </c>
      <c r="H32" s="10" t="str">
        <v>24</v>
      </c>
      <c r="I32" s="10" t="str">
        <v>CA</v>
      </c>
      <c r="J32" s="11" t="str">
        <v>MAY</v>
      </c>
    </row>
    <row r="33" spans="1:10" ht="15.75" customHeight="1" x14ac:dyDescent="0.25">
      <c r="A33" s="12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10" t="str">
        <f t="shared" si="0"/>
        <v>Standard Price</v>
      </c>
      <c r="H33" s="10" t="str">
        <v>02</v>
      </c>
      <c r="I33" s="10" t="str">
        <v>CA</v>
      </c>
      <c r="J33" s="11" t="str">
        <v>DEC</v>
      </c>
    </row>
    <row r="34" spans="1:10" ht="15.75" customHeight="1" x14ac:dyDescent="0.25">
      <c r="A34" s="8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10" t="str">
        <f t="shared" si="0"/>
        <v>High Price</v>
      </c>
      <c r="H34" s="10" t="str">
        <v>17</v>
      </c>
      <c r="I34" s="10" t="str">
        <v>IN</v>
      </c>
      <c r="J34" s="11" t="str">
        <v>JUN</v>
      </c>
    </row>
    <row r="35" spans="1:10" ht="15.75" customHeight="1" x14ac:dyDescent="0.25">
      <c r="A35" s="13" t="s">
        <v>107</v>
      </c>
      <c r="B35" s="14" t="s">
        <v>108</v>
      </c>
      <c r="C35" s="14" t="s">
        <v>109</v>
      </c>
      <c r="D35" s="14">
        <v>100</v>
      </c>
      <c r="E35" s="14">
        <v>20</v>
      </c>
      <c r="F35" s="14" t="s">
        <v>70</v>
      </c>
      <c r="G35" s="14" t="str">
        <f t="shared" si="0"/>
        <v>Standard Price</v>
      </c>
      <c r="H35" s="14" t="str">
        <v>09</v>
      </c>
      <c r="I35" s="14" t="str">
        <v>FR</v>
      </c>
      <c r="J35" s="15" t="str"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>
      <c r="A40" s="20" t="s">
        <v>110</v>
      </c>
      <c r="B40" s="20"/>
      <c r="C40" s="16">
        <f>SUM(D2:D35)</f>
        <v>10100</v>
      </c>
    </row>
    <row r="41" spans="1:10" ht="15.75" customHeight="1" x14ac:dyDescent="0.25">
      <c r="A41" s="20" t="s">
        <v>113</v>
      </c>
      <c r="B41" s="20"/>
      <c r="C41" s="17">
        <f>COUNTA(A2:A35)</f>
        <v>34</v>
      </c>
    </row>
    <row r="42" spans="1:10" ht="15.75" customHeight="1" x14ac:dyDescent="0.25">
      <c r="A42" s="20" t="s">
        <v>111</v>
      </c>
      <c r="B42" s="20"/>
      <c r="C42" s="16">
        <f>AVERAGE(D2:D35)</f>
        <v>297.05882352941177</v>
      </c>
    </row>
    <row r="43" spans="1:10" ht="15.75" customHeight="1" x14ac:dyDescent="0.25">
      <c r="A43" s="19"/>
      <c r="B43" s="19"/>
      <c r="C43" s="18"/>
    </row>
    <row r="44" spans="1:10" ht="15.75" customHeight="1" x14ac:dyDescent="0.25">
      <c r="A44" s="19"/>
      <c r="B44" s="19"/>
      <c r="C44" s="18"/>
    </row>
    <row r="45" spans="1:10" ht="15.75" customHeight="1" x14ac:dyDescent="0.25">
      <c r="A45" s="20" t="s">
        <v>112</v>
      </c>
      <c r="B45" s="20"/>
      <c r="C45" s="16">
        <f>MIN(D2:D35)</f>
        <v>30</v>
      </c>
    </row>
    <row r="46" spans="1:10" ht="15.75" customHeight="1" x14ac:dyDescent="0.25">
      <c r="A46" s="20" t="s">
        <v>114</v>
      </c>
      <c r="B46" s="20"/>
      <c r="C46" s="16">
        <f>MAX(D2:D35)</f>
        <v>1000</v>
      </c>
    </row>
    <row r="47" spans="1:10" ht="15.75" customHeight="1" x14ac:dyDescent="0.25">
      <c r="A47" s="19"/>
      <c r="B47" s="19"/>
      <c r="C47" s="18"/>
    </row>
    <row r="48" spans="1:10" ht="15.75" customHeight="1" x14ac:dyDescent="0.25">
      <c r="A48" s="19"/>
      <c r="B48" s="19"/>
      <c r="C48" s="18"/>
    </row>
    <row r="49" spans="1:3" ht="15.75" customHeight="1" x14ac:dyDescent="0.25">
      <c r="A49" s="20" t="s">
        <v>115</v>
      </c>
      <c r="B49" s="20"/>
      <c r="C49" s="16">
        <f>SUMIF(F2:F35,"Electronics",D2:D35)</f>
        <v>8050</v>
      </c>
    </row>
    <row r="50" spans="1:3" ht="15.75" customHeight="1" x14ac:dyDescent="0.25">
      <c r="A50" s="20" t="s">
        <v>116</v>
      </c>
      <c r="B50" s="20"/>
      <c r="C50" s="17">
        <f>COUNTIF(D2:D35,"&lt;100")</f>
        <v>11</v>
      </c>
    </row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50:B50"/>
    <mergeCell ref="A40:B40"/>
    <mergeCell ref="A41:B41"/>
    <mergeCell ref="A42:B42"/>
    <mergeCell ref="A45:B45"/>
    <mergeCell ref="A46:B46"/>
    <mergeCell ref="A49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nimmy joepaul</dc:creator>
  <cp:lastModifiedBy>nimmy joepaul</cp:lastModifiedBy>
  <dcterms:created xsi:type="dcterms:W3CDTF">2026-09-17T01:54:41Z</dcterms:created>
  <dcterms:modified xsi:type="dcterms:W3CDTF">2026-09-17T02:08:57Z</dcterms:modified>
</cp:coreProperties>
</file>